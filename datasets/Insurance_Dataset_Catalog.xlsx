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2285db45d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524bf7ffab4c8d"/>
    <x:sheet xmlns:r="http://schemas.openxmlformats.org/officeDocument/2006/relationships" name="Monthly Revenue" sheetId="2" r:id="Re6c029c1fad941e6"/>
    <x:sheet xmlns:r="http://schemas.openxmlformats.org/officeDocument/2006/relationships" name="Model Evaluation" sheetId="3" r:id="Rc9792b441f3f4eef"/>
    <x:sheet xmlns:r="http://schemas.openxmlformats.org/officeDocument/2006/relationships" name="Data Dictionary" sheetId="4" r:id="R8c3f1a1be697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000"/>
    <x:numFmt numFmtId="203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8C8C"/>
      </x:patternFill>
    </x:fill>
    <x:fill>
      <x:patternFill patternType="solid">
        <x:fgColor rgb="FFF7FBFC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3" fontId="0" fillId="0" borderId="0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54e423ba14812" /><Relationship Type="http://schemas.openxmlformats.org/officeDocument/2006/relationships/theme" Target="/xl/theme/theme1.xml" Id="Rc81893fa705b4557" /><Relationship Type="http://schemas.openxmlformats.org/officeDocument/2006/relationships/sharedStrings" Target="/xl/sharedStrings.xml" Id="R2bb7e76a2b08454a" /><Relationship Type="http://schemas.openxmlformats.org/officeDocument/2006/relationships/worksheet" Target="/xl/worksheets/sheet1.xml" Id="Rf1524bf7ffab4c8d" /><Relationship Type="http://schemas.openxmlformats.org/officeDocument/2006/relationships/worksheet" Target="/xl/worksheets/sheet2.xml" Id="Re6c029c1fad941e6" /><Relationship Type="http://schemas.openxmlformats.org/officeDocument/2006/relationships/worksheet" Target="/xl/worksheets/sheet3.xml" Id="Rc9792b441f3f4eef" /><Relationship Type="http://schemas.openxmlformats.org/officeDocument/2006/relationships/worksheet" Target="/xl/worksheets/sheet4.xml" Id="R8c3f1a1be69744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8c125496314d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60-month verified premium revenue (MMK)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Balanced 15,000</c:v>
          </c:tx>
          <c:marker>
            <c:symbol val="none"/>
          </c:marker>
          <c:cat>
            <c:strRef>
              <c:f>'Monthly Revenue'!$A$5:$A$64</c:f>
              <c:strCache>
                <c:ptCount val="0"/>
              </c:strCache>
            </c:strRef>
          </c:cat>
          <c:val>
            <c:numRef>
              <c:f>'Monthly Revenue'!$B$5:$B$64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15,000</c:v>
          </c:tx>
          <c:marker>
            <c:symbol val="none"/>
          </c:marker>
          <c:cat>
            <c:strRef>
              <c:f>'Monthly Revenue'!$A$5:$A$64</c:f>
              <c:strCache>
                <c:ptCount val="0"/>
              </c:strCache>
            </c:strRef>
          </c:cat>
          <c:val>
            <c:numRef>
              <c:f>'Monthly Revenue'!$C$5:$C$64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Full 15,000 each</c:v>
          </c:tx>
          <c:marker>
            <c:symbol val="none"/>
          </c:marker>
          <c:cat>
            <c:strRef>
              <c:f>'Monthly Revenue'!$A$5:$A$64</c:f>
              <c:strCache>
                <c:ptCount val="0"/>
              </c:strCache>
            </c:strRef>
          </c:cat>
          <c:val>
            <c:numRef>
              <c:f>'Monthly Revenue'!$D$5:$D$64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8c125496314d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4a5873fe4844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16" hidden="0" customWidth="1"/>
    <x:col min="5" max="5" width="19" hidden="0" customWidth="1"/>
    <x:col min="6" max="6" width="2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4" t="str">
        <x:v>Insurance Synthetic Dataset Catalog - Options 1, 2, and 3</x:v>
      </x:c>
      <x:c r="B1" s="4" t="str">
        <x:v>Insurance Synthetic Dataset Catalog - Options 1, 2, and 3</x:v>
      </x:c>
      <x:c r="C1" s="4" t="str">
        <x:v>Insurance Synthetic Dataset Catalog - Options 1, 2, and 3</x:v>
      </x:c>
      <x:c r="D1" s="4" t="str">
        <x:v>Insurance Synthetic Dataset Catalog - Options 1, 2, and 3</x:v>
      </x:c>
      <x:c r="E1" s="4" t="str">
        <x:v>Insurance Synthetic Dataset Catalog - Options 1, 2, and 3</x:v>
      </x:c>
      <x:c r="F1" s="4" t="str">
        <x:v>Insurance Synthetic Dataset Catalog - Options 1, 2, and 3</x:v>
      </x:c>
      <x:c r="G1" s="4" t="str">
        <x:v>Insurance Synthetic Dataset Catalog - Options 1, 2, and 3</x:v>
      </x:c>
      <x:c r="H1" s="4" t="str">
        <x:v>Insurance Synthetic Dataset Catalog - Options 1, 2, and 3</x:v>
      </x:c>
      <x:c r="I1" s="4" t="str">
        <x:v>Insurance Synthetic Dataset Catalog - Options 1, 2, and 3</x:v>
      </x:c>
      <x:c r="J1" s="4" t="str">
        <x:v>Insurance Synthetic Dataset Catalog - Options 1, 2, and 3</x:v>
      </x:c>
    </x:row>
    <x:row r="2" ht="28" customHeight="1">
      <x:c r="A2" s="4" t="str">
        <x:v>Insurance Synthetic Dataset Catalog - Options 1, 2, and 3</x:v>
      </x:c>
      <x:c r="B2" s="4" t="str">
        <x:v>Insurance Synthetic Dataset Catalog - Options 1, 2, and 3</x:v>
      </x:c>
      <x:c r="C2" s="4" t="str">
        <x:v>Insurance Synthetic Dataset Catalog - Options 1, 2, and 3</x:v>
      </x:c>
      <x:c r="D2" s="4" t="str">
        <x:v>Insurance Synthetic Dataset Catalog - Options 1, 2, and 3</x:v>
      </x:c>
      <x:c r="E2" s="4" t="str">
        <x:v>Insurance Synthetic Dataset Catalog - Options 1, 2, and 3</x:v>
      </x:c>
      <x:c r="F2" s="4" t="str">
        <x:v>Insurance Synthetic Dataset Catalog - Options 1, 2, and 3</x:v>
      </x:c>
      <x:c r="G2" s="4" t="str">
        <x:v>Insurance Synthetic Dataset Catalog - Options 1, 2, and 3</x:v>
      </x:c>
      <x:c r="H2" s="4" t="str">
        <x:v>Insurance Synthetic Dataset Catalog - Options 1, 2, and 3</x:v>
      </x:c>
      <x:c r="I2" s="4" t="str">
        <x:v>Insurance Synthetic Dataset Catalog - Options 1, 2, and 3</x:v>
      </x:c>
      <x:c r="J2" s="4" t="str">
        <x:v>Insurance Synthetic Dataset Catalog - Options 1, 2, and 3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40" t="str">
        <x:v>Requested options</x:v>
      </x:c>
      <x:c r="B4" s="40" t="str">
        <x:v>Requested options</x:v>
      </x:c>
      <x:c r="C4" s="40" t="str">
        <x:v>Full analytical rows</x:v>
      </x:c>
      <x:c r="D4" s="40" t="str">
        <x:v>Full analytical rows</x:v>
      </x:c>
      <x:c r="E4" s="40" t="str">
        <x:v>Payments included</x:v>
      </x:c>
      <x:c r="F4" s="40" t="str">
        <x:v>Payments included</x:v>
      </x:c>
      <x:c r="G4" s="40" t="str">
        <x:v>Real personal data</x:v>
      </x:c>
      <x:c r="H4" s="40" t="str">
        <x:v>Real personal data</x:v>
      </x:c>
      <x:c r="I4" s="39"/>
      <x:c r="J4" s="39"/>
    </x:row>
    <x:row r="5">
      <x:c r="A5" s="41" t="n">
        <x:v>3</x:v>
      </x:c>
      <x:c r="B5" s="42" t="n">
        <x:v>3</x:v>
      </x:c>
      <x:c r="C5" s="42" t="n">
        <x:f>C10+E10</x:f>
        <x:v>120000</x:v>
      </x:c>
      <x:c r="D5" s="42"/>
      <x:c r="E5" s="42" t="n">
        <x:f>SUM(D8:D10)</x:f>
        <x:v>36000</x:v>
      </x:c>
      <x:c r="F5" s="42"/>
      <x:c r="G5" s="42" t="str">
        <x:v>No - synthetic only</x:v>
      </x:c>
      <x:c r="H5" s="43" t="str">
        <x:v>No - synthetic only</x:v>
      </x:c>
      <x:c r="I5" s="39"/>
      <x:c r="J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</x:row>
    <x:row r="7">
      <x:c r="A7" s="44" t="str">
        <x:v>Profile</x:v>
      </x:c>
      <x:c r="B7" s="45" t="str">
        <x:v>Purpose</x:v>
      </x:c>
      <x:c r="C7" s="45" t="str">
        <x:v>DB business rows</x:v>
      </x:c>
      <x:c r="D7" s="45" t="str">
        <x:v>Payments</x:v>
      </x:c>
      <x:c r="E7" s="45" t="str">
        <x:v>Salary rows</x:v>
      </x:c>
      <x:c r="F7" s="45" t="str">
        <x:v>Selected model</x:v>
      </x:c>
      <x:c r="G7" s="45" t="str">
        <x:v>MAE (MMK)</x:v>
      </x:c>
      <x:c r="H7" s="45" t="str">
        <x:v>RMSE (MMK)</x:v>
      </x:c>
      <x:c r="I7" s="45" t="str">
        <x:v>R-squared</x:v>
      </x:c>
      <x:c r="J7" s="46" t="str">
        <x:v>Beats baseline</x:v>
      </x:c>
    </x:row>
    <x:row r="8">
      <x:c r="A8" s="47" t="str">
        <x:v>Option 1 - Balanced 15,000</x:v>
      </x:c>
      <x:c r="B8" s="39" t="str">
        <x:v>Complete balanced workflow</x:v>
      </x:c>
      <x:c r="C8" s="48" t="n">
        <x:v>15000</x:v>
      </x:c>
      <x:c r="D8" s="48" t="n">
        <x:v>6000</x:v>
      </x:c>
      <x:c r="E8" s="48" t="n">
        <x:v>500</x:v>
      </x:c>
      <x:c r="F8" s="39" t="str">
        <x:v>trend_lag</x:v>
      </x:c>
      <x:c r="G8" s="49" t="n">
        <x:v>444191.4</x:v>
      </x:c>
      <x:c r="H8" s="49" t="n">
        <x:v>525247.59</x:v>
      </x:c>
      <x:c r="I8" s="50" t="n">
        <x:v>0.5181</x:v>
      </x:c>
      <x:c r="J8" s="51" t="str">
        <x:v>Yes</x:v>
      </x:c>
    </x:row>
    <x:row r="9">
      <x:c r="A9" s="47" t="str">
        <x:v>Option 2 - Revenue 15,000</x:v>
      </x:c>
      <x:c r="B9" s="39" t="str">
        <x:v>Payment/revenue ML</x:v>
      </x:c>
      <x:c r="C9" s="48" t="n">
        <x:v>23000</x:v>
      </x:c>
      <x:c r="D9" s="48" t="n">
        <x:v>15000</x:v>
      </x:c>
      <x:c r="E9" s="48" t="n">
        <x:v>0</x:v>
      </x:c>
      <x:c r="F9" s="39" t="str">
        <x:v>trend_seasonal_lag</x:v>
      </x:c>
      <x:c r="G9" s="49" t="n">
        <x:v>495240.83</x:v>
      </x:c>
      <x:c r="H9" s="49" t="n">
        <x:v>659709.25</x:v>
      </x:c>
      <x:c r="I9" s="50" t="n">
        <x:v>0.8069</x:v>
      </x:c>
      <x:c r="J9" s="51" t="str">
        <x:v>Yes</x:v>
      </x:c>
    </x:row>
    <x:row r="10">
      <x:c r="A10" s="52" t="str">
        <x:v>Option 3 - 15,000 per table</x:v>
      </x:c>
      <x:c r="B10" s="53" t="str">
        <x:v>Maximum per-table scale</x:v>
      </x:c>
      <x:c r="C10" s="54" t="n">
        <x:v>105000</x:v>
      </x:c>
      <x:c r="D10" s="54" t="n">
        <x:v>15000</x:v>
      </x:c>
      <x:c r="E10" s="54" t="n">
        <x:v>15000</x:v>
      </x:c>
      <x:c r="F10" s="53" t="str">
        <x:v>trend_lag</x:v>
      </x:c>
      <x:c r="G10" s="55" t="n">
        <x:v>1435441.6</x:v>
      </x:c>
      <x:c r="H10" s="55" t="n">
        <x:v>1763923.81</x:v>
      </x:c>
      <x:c r="I10" s="56" t="n">
        <x:v>0.1972</x:v>
      </x:c>
      <x:c r="J10" s="57" t="str">
        <x:v>Yes</x:v>
      </x:c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35" t="str">
        <x:v>Verified premium revenue trend (MMK)</x:v>
      </x:c>
      <x:c r="B12" s="35" t="str">
        <x:v>Verified premium revenue trend (MMK)</x:v>
      </x:c>
      <x:c r="C12" s="35" t="str">
        <x:v>Verified premium revenue trend (MMK)</x:v>
      </x:c>
      <x:c r="D12" s="35" t="str">
        <x:v>Verified premium revenue trend (MMK)</x:v>
      </x:c>
      <x:c r="E12" s="35" t="str">
        <x:v>Verified premium revenue trend (MMK)</x:v>
      </x:c>
      <x:c r="F12" s="35" t="str">
        <x:v>Verified premium revenue trend (MMK)</x:v>
      </x:c>
      <x:c r="G12" s="35" t="str">
        <x:v>Verified premium revenue trend (MMK)</x:v>
      </x:c>
      <x:c r="H12" s="35" t="str">
        <x:v>Verified premium revenue trend (MMK)</x:v>
      </x:c>
      <x:c r="I12" s="35" t="str">
        <x:v>Verified premium revenue trend (MMK)</x:v>
      </x:c>
      <x:c r="J12" s="35" t="str">
        <x:v>Verified premium revenue trend (MMK)</x:v>
      </x:c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>
      <x:c r="A31" s="58" t="str">
        <x:v>Source: project-generated synthetic data, random seed 20260812. See DATASETS_15000_GUIDE.md.</x:v>
      </x:c>
      <x:c r="B31" s="58" t="str">
        <x:v>Source: project-generated synthetic data, random seed 20260812. See DATASETS_15000_GUIDE.md.</x:v>
      </x:c>
      <x:c r="C31" s="58" t="str">
        <x:v>Source: project-generated synthetic data, random seed 20260812. See DATASETS_15000_GUIDE.md.</x:v>
      </x:c>
      <x:c r="D31" s="58" t="str">
        <x:v>Source: project-generated synthetic data, random seed 20260812. See DATASETS_15000_GUIDE.md.</x:v>
      </x:c>
      <x:c r="E31" s="58" t="str">
        <x:v>Source: project-generated synthetic data, random seed 20260812. See DATASETS_15000_GUIDE.md.</x:v>
      </x:c>
      <x:c r="F31" s="58" t="str">
        <x:v>Source: project-generated synthetic data, random seed 20260812. See DATASETS_15000_GUIDE.md.</x:v>
      </x:c>
      <x:c r="G31" s="58" t="str">
        <x:v>Source: project-generated synthetic data, random seed 20260812. See DATASETS_15000_GUIDE.md.</x:v>
      </x:c>
      <x:c r="H31" s="58" t="str">
        <x:v>Source: project-generated synthetic data, random seed 20260812. See DATASETS_15000_GUIDE.md.</x:v>
      </x:c>
      <x:c r="I31" s="58" t="str">
        <x:v>Source: project-generated synthetic data, random seed 20260812. See DATASETS_15000_GUIDE.md.</x:v>
      </x:c>
      <x:c r="J31" s="58" t="str">
        <x:v>Source: project-generated synthetic data, random seed 20260812. See DATASETS_15000_GUIDE.md.</x:v>
      </x:c>
    </x:row>
  </x:sheetData>
  <x:mergeCells>
    <x:mergeCell ref="A1:J2"/>
    <x:mergeCell ref="A4:B4"/>
    <x:mergeCell ref="C4:D4"/>
    <x:mergeCell ref="E4:F4"/>
    <x:mergeCell ref="G4:H4"/>
    <x:mergeCell ref="A5:B5"/>
    <x:mergeCell ref="C5:D5"/>
    <x:mergeCell ref="E5:F5"/>
    <x:mergeCell ref="G5:H5"/>
    <x:mergeCell ref="A12:J12"/>
    <x:mergeCell ref="A31:J31"/>
  </x:mergeCells>
  <x:conditionalFormatting sqref="J8:J10">
    <x:cfRule type="containsText" dxfId="0" priority="1" operator="containsText" text="Yes"/>
  </x:conditionalFormatting>
  <x:pageMargins left="0.7" right="0.7" top="0.75" bottom="0.75" header="0.3" footer="0.3"/>
  <x:drawing xmlns:r="http://schemas.openxmlformats.org/officeDocument/2006/relationships" r:id="Rd34a5873fe4844e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4" t="str">
        <x:v>Monthly Verified Premium Revenue</x:v>
      </x:c>
      <x:c r="B1" s="4" t="str">
        <x:v>Monthly Verified Premium Revenue</x:v>
      </x:c>
      <x:c r="C1" s="4" t="str">
        <x:v>Monthly Verified Premium Revenue</x:v>
      </x:c>
      <x:c r="D1" s="4" t="str">
        <x:v>Monthly Verified Premium Revenue</x:v>
      </x:c>
    </x:row>
    <x:row r="2">
      <x:c r="A2" s="4" t="str">
        <x:v>Monthly Verified Premium Revenue</x:v>
      </x:c>
      <x:c r="B2" s="4" t="str">
        <x:v>Monthly Verified Premium Revenue</x:v>
      </x:c>
      <x:c r="C2" s="4" t="str">
        <x:v>Monthly Verified Premium Revenue</x:v>
      </x:c>
      <x:c r="D2" s="4" t="str">
        <x:v>Monthly Verified Premium Revenue</x:v>
      </x:c>
    </x:row>
    <x:row r="4">
      <x:c r="A4" s="18" t="str">
        <x:v>Month</x:v>
      </x:c>
      <x:c r="B4" s="19" t="str">
        <x:v>Balanced 15,000</x:v>
      </x:c>
      <x:c r="C4" s="19" t="str">
        <x:v>Revenue 15,000</x:v>
      </x:c>
      <x:c r="D4" s="20" t="str">
        <x:v>Full 15,000 each</x:v>
      </x:c>
    </x:row>
    <x:row r="5">
      <x:c r="A5" s="24" t="str">
        <x:v>2021-09</x:v>
      </x:c>
      <x:c r="B5" s="22" t="n">
        <x:v>645766.79</x:v>
      </x:c>
      <x:c r="C5" s="22" t="n">
        <x:v>1701297.71</x:v>
      </x:c>
      <x:c r="D5" s="59" t="n">
        <x:v>1112376.6</x:v>
      </x:c>
    </x:row>
    <x:row r="6">
      <x:c r="A6" s="24" t="str">
        <x:v>2021-10</x:v>
      </x:c>
      <x:c r="B6" s="22" t="n">
        <x:v>863453.71</x:v>
      </x:c>
      <x:c r="C6" s="22" t="n">
        <x:v>2760999.63</x:v>
      </x:c>
      <x:c r="D6" s="59" t="n">
        <x:v>2250758.98</x:v>
      </x:c>
    </x:row>
    <x:row r="7">
      <x:c r="A7" s="24" t="str">
        <x:v>2021-11</x:v>
      </x:c>
      <x:c r="B7" s="22" t="n">
        <x:v>1292867.96</x:v>
      </x:c>
      <x:c r="C7" s="22" t="n">
        <x:v>3631449.95</x:v>
      </x:c>
      <x:c r="D7" s="59" t="n">
        <x:v>3546459.2</x:v>
      </x:c>
    </x:row>
    <x:row r="8">
      <x:c r="A8" s="24" t="str">
        <x:v>2021-12</x:v>
      </x:c>
      <x:c r="B8" s="22" t="n">
        <x:v>2080793.49</x:v>
      </x:c>
      <x:c r="C8" s="22" t="n">
        <x:v>4787146.06</x:v>
      </x:c>
      <x:c r="D8" s="59" t="n">
        <x:v>4828988.27</x:v>
      </x:c>
    </x:row>
    <x:row r="9">
      <x:c r="A9" s="24" t="str">
        <x:v>2022-01</x:v>
      </x:c>
      <x:c r="B9" s="22" t="n">
        <x:v>866988.41</x:v>
      </x:c>
      <x:c r="C9" s="22" t="n">
        <x:v>1764272.87</x:v>
      </x:c>
      <x:c r="D9" s="59" t="n">
        <x:v>2464899.08</x:v>
      </x:c>
    </x:row>
    <x:row r="10">
      <x:c r="A10" s="24" t="str">
        <x:v>2022-02</x:v>
      </x:c>
      <x:c r="B10" s="22" t="n">
        <x:v>1518569.12</x:v>
      </x:c>
      <x:c r="C10" s="22" t="n">
        <x:v>3391365.15</x:v>
      </x:c>
      <x:c r="D10" s="59" t="n">
        <x:v>3758849.59</x:v>
      </x:c>
    </x:row>
    <x:row r="11">
      <x:c r="A11" s="24" t="str">
        <x:v>2022-03</x:v>
      </x:c>
      <x:c r="B11" s="22" t="n">
        <x:v>1486585.13</x:v>
      </x:c>
      <x:c r="C11" s="22" t="n">
        <x:v>4095870.77</x:v>
      </x:c>
      <x:c r="D11" s="59" t="n">
        <x:v>2676834.68</x:v>
      </x:c>
    </x:row>
    <x:row r="12">
      <x:c r="A12" s="24" t="str">
        <x:v>2022-04</x:v>
      </x:c>
      <x:c r="B12" s="22" t="n">
        <x:v>2038367.93</x:v>
      </x:c>
      <x:c r="C12" s="22" t="n">
        <x:v>5987169.34</x:v>
      </x:c>
      <x:c r="D12" s="59" t="n">
        <x:v>4817113.88</x:v>
      </x:c>
    </x:row>
    <x:row r="13">
      <x:c r="A13" s="24" t="str">
        <x:v>2022-05</x:v>
      </x:c>
      <x:c r="B13" s="22" t="n">
        <x:v>642508.22</x:v>
      </x:c>
      <x:c r="C13" s="22" t="n">
        <x:v>1897669.46</x:v>
      </x:c>
      <x:c r="D13" s="59" t="n">
        <x:v>1931574.33</x:v>
      </x:c>
    </x:row>
    <x:row r="14">
      <x:c r="A14" s="24" t="str">
        <x:v>2022-06</x:v>
      </x:c>
      <x:c r="B14" s="22" t="n">
        <x:v>1410864.69</x:v>
      </x:c>
      <x:c r="C14" s="22" t="n">
        <x:v>3188735.75</x:v>
      </x:c>
      <x:c r="D14" s="59" t="n">
        <x:v>3581927.03</x:v>
      </x:c>
    </x:row>
    <x:row r="15">
      <x:c r="A15" s="24" t="str">
        <x:v>2022-07</x:v>
      </x:c>
      <x:c r="B15" s="22" t="n">
        <x:v>1643009.69</x:v>
      </x:c>
      <x:c r="C15" s="22" t="n">
        <x:v>4114828.33</x:v>
      </x:c>
      <x:c r="D15" s="59" t="n">
        <x:v>4564467.17</x:v>
      </x:c>
    </x:row>
    <x:row r="16">
      <x:c r="A16" s="24" t="str">
        <x:v>2022-08</x:v>
      </x:c>
      <x:c r="B16" s="22" t="n">
        <x:v>2252181.21</x:v>
      </x:c>
      <x:c r="C16" s="22" t="n">
        <x:v>5601445.8</x:v>
      </x:c>
      <x:c r="D16" s="59" t="n">
        <x:v>7359448.9</x:v>
      </x:c>
    </x:row>
    <x:row r="17">
      <x:c r="A17" s="24" t="str">
        <x:v>2022-09</x:v>
      </x:c>
      <x:c r="B17" s="22" t="n">
        <x:v>675142.8</x:v>
      </x:c>
      <x:c r="C17" s="22" t="n">
        <x:v>1806272.94</x:v>
      </x:c>
      <x:c r="D17" s="59" t="n">
        <x:v>1118675.75</x:v>
      </x:c>
    </x:row>
    <x:row r="18">
      <x:c r="A18" s="24" t="str">
        <x:v>2022-10</x:v>
      </x:c>
      <x:c r="B18" s="22" t="n">
        <x:v>1095470.13</x:v>
      </x:c>
      <x:c r="C18" s="22" t="n">
        <x:v>2746313.63</x:v>
      </x:c>
      <x:c r="D18" s="59" t="n">
        <x:v>2229646.65</x:v>
      </x:c>
    </x:row>
    <x:row r="19">
      <x:c r="A19" s="24" t="str">
        <x:v>2022-11</x:v>
      </x:c>
      <x:c r="B19" s="22" t="n">
        <x:v>1301471.29</x:v>
      </x:c>
      <x:c r="C19" s="22" t="n">
        <x:v>3759654.87</x:v>
      </x:c>
      <x:c r="D19" s="59" t="n">
        <x:v>3962829.78</x:v>
      </x:c>
    </x:row>
    <x:row r="20">
      <x:c r="A20" s="24" t="str">
        <x:v>2022-12</x:v>
      </x:c>
      <x:c r="B20" s="22" t="n">
        <x:v>1923121.96</x:v>
      </x:c>
      <x:c r="C20" s="22" t="n">
        <x:v>5824242.03</x:v>
      </x:c>
      <x:c r="D20" s="59" t="n">
        <x:v>4978551.75</x:v>
      </x:c>
    </x:row>
    <x:row r="21">
      <x:c r="A21" s="24" t="str">
        <x:v>2023-01</x:v>
      </x:c>
      <x:c r="B21" s="22" t="n">
        <x:v>822393.73</x:v>
      </x:c>
      <x:c r="C21" s="22" t="n">
        <x:v>2014397.94</x:v>
      </x:c>
      <x:c r="D21" s="59" t="n">
        <x:v>2683442.31</x:v>
      </x:c>
    </x:row>
    <x:row r="22">
      <x:c r="A22" s="24" t="str">
        <x:v>2023-02</x:v>
      </x:c>
      <x:c r="B22" s="22" t="n">
        <x:v>1720881.03</x:v>
      </x:c>
      <x:c r="C22" s="22" t="n">
        <x:v>3644387.13</x:v>
      </x:c>
      <x:c r="D22" s="59" t="n">
        <x:v>4192499.21</x:v>
      </x:c>
    </x:row>
    <x:row r="23">
      <x:c r="A23" s="24" t="str">
        <x:v>2023-03</x:v>
      </x:c>
      <x:c r="B23" s="22" t="n">
        <x:v>1570872.76</x:v>
      </x:c>
      <x:c r="C23" s="22" t="n">
        <x:v>4307371.01</x:v>
      </x:c>
      <x:c r="D23" s="59" t="n">
        <x:v>2805758.22</x:v>
      </x:c>
    </x:row>
    <x:row r="24">
      <x:c r="A24" s="24" t="str">
        <x:v>2023-04</x:v>
      </x:c>
      <x:c r="B24" s="22" t="n">
        <x:v>2658732.35</x:v>
      </x:c>
      <x:c r="C24" s="22" t="n">
        <x:v>6168509.53</x:v>
      </x:c>
      <x:c r="D24" s="59" t="n">
        <x:v>4847974.7</x:v>
      </x:c>
    </x:row>
    <x:row r="25">
      <x:c r="A25" s="24" t="str">
        <x:v>2023-05</x:v>
      </x:c>
      <x:c r="B25" s="22" t="n">
        <x:v>722397.06</x:v>
      </x:c>
      <x:c r="C25" s="22" t="n">
        <x:v>2218613.42</x:v>
      </x:c>
      <x:c r="D25" s="59" t="n">
        <x:v>1993354.43</x:v>
      </x:c>
    </x:row>
    <x:row r="26">
      <x:c r="A26" s="24" t="str">
        <x:v>2023-06</x:v>
      </x:c>
      <x:c r="B26" s="22" t="n">
        <x:v>1111456.98</x:v>
      </x:c>
      <x:c r="C26" s="22" t="n">
        <x:v>3282998.38</x:v>
      </x:c>
      <x:c r="D26" s="59" t="n">
        <x:v>3588814.61</x:v>
      </x:c>
    </x:row>
    <x:row r="27">
      <x:c r="A27" s="24" t="str">
        <x:v>2023-07</x:v>
      </x:c>
      <x:c r="B27" s="22" t="n">
        <x:v>1721012.74</x:v>
      </x:c>
      <x:c r="C27" s="22" t="n">
        <x:v>4230853.44</x:v>
      </x:c>
      <x:c r="D27" s="59" t="n">
        <x:v>4659765.77</x:v>
      </x:c>
    </x:row>
    <x:row r="28">
      <x:c r="A28" s="24" t="str">
        <x:v>2023-08</x:v>
      </x:c>
      <x:c r="B28" s="22" t="n">
        <x:v>2414661.85</x:v>
      </x:c>
      <x:c r="C28" s="22" t="n">
        <x:v>5368027.78</x:v>
      </x:c>
      <x:c r="D28" s="59" t="n">
        <x:v>5888242.29</x:v>
      </x:c>
    </x:row>
    <x:row r="29">
      <x:c r="A29" s="24" t="str">
        <x:v>2023-09</x:v>
      </x:c>
      <x:c r="B29" s="22" t="n">
        <x:v>667845.29</x:v>
      </x:c>
      <x:c r="C29" s="22" t="n">
        <x:v>1707633.78</x:v>
      </x:c>
      <x:c r="D29" s="59" t="n">
        <x:v>1106102.64</x:v>
      </x:c>
    </x:row>
    <x:row r="30">
      <x:c r="A30" s="24" t="str">
        <x:v>2023-10</x:v>
      </x:c>
      <x:c r="B30" s="22" t="n">
        <x:v>1206782.2</x:v>
      </x:c>
      <x:c r="C30" s="22" t="n">
        <x:v>3335417.17</x:v>
      </x:c>
      <x:c r="D30" s="59" t="n">
        <x:v>2427194.18</x:v>
      </x:c>
    </x:row>
    <x:row r="31">
      <x:c r="A31" s="24" t="str">
        <x:v>2023-11</x:v>
      </x:c>
      <x:c r="B31" s="22" t="n">
        <x:v>1600812.73</x:v>
      </x:c>
      <x:c r="C31" s="22" t="n">
        <x:v>3746624.21</x:v>
      </x:c>
      <x:c r="D31" s="59" t="n">
        <x:v>4295820.34</x:v>
      </x:c>
    </x:row>
    <x:row r="32">
      <x:c r="A32" s="24" t="str">
        <x:v>2023-12</x:v>
      </x:c>
      <x:c r="B32" s="22" t="n">
        <x:v>2098115.87</x:v>
      </x:c>
      <x:c r="C32" s="22" t="n">
        <x:v>5405933.4</x:v>
      </x:c>
      <x:c r="D32" s="59" t="n">
        <x:v>5248612.25</x:v>
      </x:c>
    </x:row>
    <x:row r="33">
      <x:c r="A33" s="24" t="str">
        <x:v>2024-01</x:v>
      </x:c>
      <x:c r="B33" s="22" t="n">
        <x:v>886428.79</x:v>
      </x:c>
      <x:c r="C33" s="22" t="n">
        <x:v>1865639.68</x:v>
      </x:c>
      <x:c r="D33" s="59" t="n">
        <x:v>2921708.28</x:v>
      </x:c>
    </x:row>
    <x:row r="34">
      <x:c r="A34" s="24" t="str">
        <x:v>2024-02</x:v>
      </x:c>
      <x:c r="B34" s="22" t="n">
        <x:v>1646920.52</x:v>
      </x:c>
      <x:c r="C34" s="22" t="n">
        <x:v>3731151.18</x:v>
      </x:c>
      <x:c r="D34" s="59" t="n">
        <x:v>3951225.2</x:v>
      </x:c>
    </x:row>
    <x:row r="35">
      <x:c r="A35" s="24" t="str">
        <x:v>2024-03</x:v>
      </x:c>
      <x:c r="B35" s="22" t="n">
        <x:v>1588255.14</x:v>
      </x:c>
      <x:c r="C35" s="22" t="n">
        <x:v>4444071.65</x:v>
      </x:c>
      <x:c r="D35" s="59" t="n">
        <x:v>3234260.75</x:v>
      </x:c>
    </x:row>
    <x:row r="36">
      <x:c r="A36" s="24" t="str">
        <x:v>2024-04</x:v>
      </x:c>
      <x:c r="B36" s="22" t="n">
        <x:v>2406065.37</x:v>
      </x:c>
      <x:c r="C36" s="22" t="n">
        <x:v>6812089.79</x:v>
      </x:c>
      <x:c r="D36" s="59" t="n">
        <x:v>5479931.82</x:v>
      </x:c>
    </x:row>
    <x:row r="37">
      <x:c r="A37" s="24" t="str">
        <x:v>2024-05</x:v>
      </x:c>
      <x:c r="B37" s="22" t="n">
        <x:v>771595.49</x:v>
      </x:c>
      <x:c r="C37" s="22" t="n">
        <x:v>2363115.57</x:v>
      </x:c>
      <x:c r="D37" s="59" t="n">
        <x:v>1977677.86</x:v>
      </x:c>
    </x:row>
    <x:row r="38">
      <x:c r="A38" s="24" t="str">
        <x:v>2024-06</x:v>
      </x:c>
      <x:c r="B38" s="22" t="n">
        <x:v>1534115.21</x:v>
      </x:c>
      <x:c r="C38" s="22" t="n">
        <x:v>3484478.87</x:v>
      </x:c>
      <x:c r="D38" s="59" t="n">
        <x:v>3754059.18</x:v>
      </x:c>
    </x:row>
    <x:row r="39">
      <x:c r="A39" s="24" t="str">
        <x:v>2024-07</x:v>
      </x:c>
      <x:c r="B39" s="22" t="n">
        <x:v>2035793.37</x:v>
      </x:c>
      <x:c r="C39" s="22" t="n">
        <x:v>4175727.73</x:v>
      </x:c>
      <x:c r="D39" s="59" t="n">
        <x:v>4771624.75</x:v>
      </x:c>
    </x:row>
    <x:row r="40">
      <x:c r="A40" s="24" t="str">
        <x:v>2024-08</x:v>
      </x:c>
      <x:c r="B40" s="22" t="n">
        <x:v>2652239.03</x:v>
      </x:c>
      <x:c r="C40" s="22" t="n">
        <x:v>5912727.98</x:v>
      </x:c>
      <x:c r="D40" s="59" t="n">
        <x:v>7311763.87</x:v>
      </x:c>
    </x:row>
    <x:row r="41">
      <x:c r="A41" s="24" t="str">
        <x:v>2024-09</x:v>
      </x:c>
      <x:c r="B41" s="22" t="n">
        <x:v>741342.19</x:v>
      </x:c>
      <x:c r="C41" s="22" t="n">
        <x:v>2032784.08</x:v>
      </x:c>
      <x:c r="D41" s="59" t="n">
        <x:v>1274820.45</x:v>
      </x:c>
    </x:row>
    <x:row r="42">
      <x:c r="A42" s="24" t="str">
        <x:v>2024-10</x:v>
      </x:c>
      <x:c r="B42" s="22" t="n">
        <x:v>1281567.9</x:v>
      </x:c>
      <x:c r="C42" s="22" t="n">
        <x:v>3582563.42</x:v>
      </x:c>
      <x:c r="D42" s="59" t="n">
        <x:v>2690559.93</x:v>
      </x:c>
    </x:row>
    <x:row r="43">
      <x:c r="A43" s="24" t="str">
        <x:v>2024-11</x:v>
      </x:c>
      <x:c r="B43" s="22" t="n">
        <x:v>1569633.29</x:v>
      </x:c>
      <x:c r="C43" s="22" t="n">
        <x:v>4202376.9</x:v>
      </x:c>
      <x:c r="D43" s="59" t="n">
        <x:v>4351779.52</x:v>
      </x:c>
    </x:row>
    <x:row r="44">
      <x:c r="A44" s="24" t="str">
        <x:v>2024-12</x:v>
      </x:c>
      <x:c r="B44" s="22" t="n">
        <x:v>2107619.29</x:v>
      </x:c>
      <x:c r="C44" s="22" t="n">
        <x:v>6232389.38</x:v>
      </x:c>
      <x:c r="D44" s="59" t="n">
        <x:v>5855008.31</x:v>
      </x:c>
    </x:row>
    <x:row r="45">
      <x:c r="A45" s="24" t="str">
        <x:v>2025-01</x:v>
      </x:c>
      <x:c r="B45" s="22" t="n">
        <x:v>987633.97</x:v>
      </x:c>
      <x:c r="C45" s="22" t="n">
        <x:v>2020208.23</x:v>
      </x:c>
      <x:c r="D45" s="59" t="n">
        <x:v>2889102.05</x:v>
      </x:c>
    </x:row>
    <x:row r="46">
      <x:c r="A46" s="24" t="str">
        <x:v>2025-02</x:v>
      </x:c>
      <x:c r="B46" s="22" t="n">
        <x:v>1526706.59</x:v>
      </x:c>
      <x:c r="C46" s="22" t="n">
        <x:v>3689973.57</x:v>
      </x:c>
      <x:c r="D46" s="59" t="n">
        <x:v>4202946.17</x:v>
      </x:c>
    </x:row>
    <x:row r="47">
      <x:c r="A47" s="24" t="str">
        <x:v>2025-03</x:v>
      </x:c>
      <x:c r="B47" s="22" t="n">
        <x:v>1667851.7</x:v>
      </x:c>
      <x:c r="C47" s="22" t="n">
        <x:v>4651051.49</x:v>
      </x:c>
      <x:c r="D47" s="59" t="n">
        <x:v>3236216.74</x:v>
      </x:c>
    </x:row>
    <x:row r="48">
      <x:c r="A48" s="24" t="str">
        <x:v>2025-04</x:v>
      </x:c>
      <x:c r="B48" s="22" t="n">
        <x:v>2887970.3</x:v>
      </x:c>
      <x:c r="C48" s="22" t="n">
        <x:v>6469379.6</x:v>
      </x:c>
      <x:c r="D48" s="59" t="n">
        <x:v>5377136.78</x:v>
      </x:c>
    </x:row>
    <x:row r="49">
      <x:c r="A49" s="24" t="str">
        <x:v>2025-05</x:v>
      </x:c>
      <x:c r="B49" s="22" t="n">
        <x:v>868530.61</x:v>
      </x:c>
      <x:c r="C49" s="22" t="n">
        <x:v>2075218.85</x:v>
      </x:c>
      <x:c r="D49" s="59" t="n">
        <x:v>2243349.49</x:v>
      </x:c>
    </x:row>
    <x:row r="50">
      <x:c r="A50" s="24" t="str">
        <x:v>2025-06</x:v>
      </x:c>
      <x:c r="B50" s="22" t="n">
        <x:v>1416252</x:v>
      </x:c>
      <x:c r="C50" s="22" t="n">
        <x:v>3724946.79</x:v>
      </x:c>
      <x:c r="D50" s="59" t="n">
        <x:v>4037254.24</x:v>
      </x:c>
    </x:row>
    <x:row r="51">
      <x:c r="A51" s="24" t="str">
        <x:v>2025-07</x:v>
      </x:c>
      <x:c r="B51" s="22" t="n">
        <x:v>1938342.36</x:v>
      </x:c>
      <x:c r="C51" s="22" t="n">
        <x:v>4452679.53</x:v>
      </x:c>
      <x:c r="D51" s="59" t="n">
        <x:v>5412955.42</x:v>
      </x:c>
    </x:row>
    <x:row r="52">
      <x:c r="A52" s="24" t="str">
        <x:v>2025-08</x:v>
      </x:c>
      <x:c r="B52" s="22" t="n">
        <x:v>2958003.06</x:v>
      </x:c>
      <x:c r="C52" s="22" t="n">
        <x:v>6421615.01</x:v>
      </x:c>
      <x:c r="D52" s="59" t="n">
        <x:v>7791933.42</x:v>
      </x:c>
    </x:row>
    <x:row r="53">
      <x:c r="A53" s="24" t="str">
        <x:v>2025-09</x:v>
      </x:c>
      <x:c r="B53" s="22" t="n">
        <x:v>710225.91</x:v>
      </x:c>
      <x:c r="C53" s="22" t="n">
        <x:v>2027852.52</x:v>
      </x:c>
      <x:c r="D53" s="59" t="n">
        <x:v>1320082.59</x:v>
      </x:c>
    </x:row>
    <x:row r="54">
      <x:c r="A54" s="24" t="str">
        <x:v>2025-10</x:v>
      </x:c>
      <x:c r="B54" s="22" t="n">
        <x:v>1390233.51</x:v>
      </x:c>
      <x:c r="C54" s="22" t="n">
        <x:v>3551024.65</x:v>
      </x:c>
      <x:c r="D54" s="59" t="n">
        <x:v>2477459.84</x:v>
      </x:c>
    </x:row>
    <x:row r="55">
      <x:c r="A55" s="24" t="str">
        <x:v>2025-11</x:v>
      </x:c>
      <x:c r="B55" s="22" t="n">
        <x:v>1611310.74</x:v>
      </x:c>
      <x:c r="C55" s="22" t="n">
        <x:v>4227336.63</x:v>
      </x:c>
      <x:c r="D55" s="59" t="n">
        <x:v>4709892.68</x:v>
      </x:c>
    </x:row>
    <x:row r="56">
      <x:c r="A56" s="24" t="str">
        <x:v>2025-12</x:v>
      </x:c>
      <x:c r="B56" s="22" t="n">
        <x:v>2081664.43</x:v>
      </x:c>
      <x:c r="C56" s="22" t="n">
        <x:v>6789511.66</x:v>
      </x:c>
      <x:c r="D56" s="59" t="n">
        <x:v>5681428.73</x:v>
      </x:c>
    </x:row>
    <x:row r="57">
      <x:c r="A57" s="24" t="str">
        <x:v>2026-01</x:v>
      </x:c>
      <x:c r="B57" s="22" t="n">
        <x:v>970301.65</x:v>
      </x:c>
      <x:c r="C57" s="22" t="n">
        <x:v>2366395.48</x:v>
      </x:c>
      <x:c r="D57" s="59" t="n">
        <x:v>2821118.25</x:v>
      </x:c>
    </x:row>
    <x:row r="58">
      <x:c r="A58" s="24" t="str">
        <x:v>2026-02</x:v>
      </x:c>
      <x:c r="B58" s="22" t="n">
        <x:v>1937691.48</x:v>
      </x:c>
      <x:c r="C58" s="22" t="n">
        <x:v>3819207.09</x:v>
      </x:c>
      <x:c r="D58" s="59" t="n">
        <x:v>4459306.31</x:v>
      </x:c>
    </x:row>
    <x:row r="59">
      <x:c r="A59" s="24" t="str">
        <x:v>2026-03</x:v>
      </x:c>
      <x:c r="B59" s="22" t="n">
        <x:v>1880292.81</x:v>
      </x:c>
      <x:c r="C59" s="22" t="n">
        <x:v>4856463.41</x:v>
      </x:c>
      <x:c r="D59" s="59" t="n">
        <x:v>3386267.88</x:v>
      </x:c>
    </x:row>
    <x:row r="60">
      <x:c r="A60" s="24" t="str">
        <x:v>2026-04</x:v>
      </x:c>
      <x:c r="B60" s="22" t="n">
        <x:v>2658974.6</x:v>
      </x:c>
      <x:c r="C60" s="22" t="n">
        <x:v>7023212.99</x:v>
      </x:c>
      <x:c r="D60" s="59" t="n">
        <x:v>5662418.67</x:v>
      </x:c>
    </x:row>
    <x:row r="61">
      <x:c r="A61" s="24" t="str">
        <x:v>2026-05</x:v>
      </x:c>
      <x:c r="B61" s="22" t="n">
        <x:v>878250.98</x:v>
      </x:c>
      <x:c r="C61" s="22" t="n">
        <x:v>2513290.33</x:v>
      </x:c>
      <x:c r="D61" s="59" t="n">
        <x:v>2282219.16</x:v>
      </x:c>
    </x:row>
    <x:row r="62">
      <x:c r="A62" s="24" t="str">
        <x:v>2026-06</x:v>
      </x:c>
      <x:c r="B62" s="22" t="n">
        <x:v>1357396.7</x:v>
      </x:c>
      <x:c r="C62" s="22" t="n">
        <x:v>4372139.85</x:v>
      </x:c>
      <x:c r="D62" s="59" t="n">
        <x:v>4227895.41</x:v>
      </x:c>
    </x:row>
    <x:row r="63">
      <x:c r="A63" s="24" t="str">
        <x:v>2026-07</x:v>
      </x:c>
      <x:c r="B63" s="22" t="n">
        <x:v>2260308.99</x:v>
      </x:c>
      <x:c r="C63" s="22" t="n">
        <x:v>4434545.05</x:v>
      </x:c>
      <x:c r="D63" s="59" t="n">
        <x:v>5699926.23</x:v>
      </x:c>
    </x:row>
    <x:row r="64">
      <x:c r="A64" s="27" t="str">
        <x:v>2026-08</x:v>
      </x:c>
      <x:c r="B64" s="30" t="n">
        <x:v>3118524.65</x:v>
      </x:c>
      <x:c r="C64" s="30" t="n">
        <x:v>6586833.98</x:v>
      </x:c>
      <x:c r="D64" s="60" t="n">
        <x:v>8428573.54</x:v>
      </x:c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4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Python Model Evaluation</x:v>
      </x:c>
      <x:c r="B1" s="4" t="str">
        <x:v>Python Model Evaluation</x:v>
      </x:c>
      <x:c r="C1" s="4" t="str">
        <x:v>Python Model Evaluation</x:v>
      </x:c>
      <x:c r="D1" s="4" t="str">
        <x:v>Python Model Evaluation</x:v>
      </x:c>
      <x:c r="E1" s="4" t="str">
        <x:v>Python Model Evaluation</x:v>
      </x:c>
      <x:c r="F1" s="4" t="str">
        <x:v>Python Model Evaluation</x:v>
      </x:c>
      <x:c r="G1" s="4" t="str">
        <x:v>Python Model Evaluation</x:v>
      </x:c>
      <x:c r="H1" s="4" t="str">
        <x:v>Python Model Evaluation</x:v>
      </x:c>
      <x:c r="I1" s="4" t="str">
        <x:v>Python Model Evaluation</x:v>
      </x:c>
      <x:c r="J1" s="4" t="str">
        <x:v>Python Model Evaluation</x:v>
      </x:c>
    </x:row>
    <x:row r="2">
      <x:c r="A2" s="4" t="str">
        <x:v>Python Model Evaluation</x:v>
      </x:c>
      <x:c r="B2" s="4" t="str">
        <x:v>Python Model Evaluation</x:v>
      </x:c>
      <x:c r="C2" s="4" t="str">
        <x:v>Python Model Evaluation</x:v>
      </x:c>
      <x:c r="D2" s="4" t="str">
        <x:v>Python Model Evaluation</x:v>
      </x:c>
      <x:c r="E2" s="4" t="str">
        <x:v>Python Model Evaluation</x:v>
      </x:c>
      <x:c r="F2" s="4" t="str">
        <x:v>Python Model Evaluation</x:v>
      </x:c>
      <x:c r="G2" s="4" t="str">
        <x:v>Python Model Evaluation</x:v>
      </x:c>
      <x:c r="H2" s="4" t="str">
        <x:v>Python Model Evaluation</x:v>
      </x:c>
      <x:c r="I2" s="4" t="str">
        <x:v>Python Model Evaluation</x:v>
      </x:c>
      <x:c r="J2" s="4" t="str">
        <x:v>Python Model Evaluation</x:v>
      </x:c>
    </x:row>
    <x:row r="4">
      <x:c r="A4" s="62" t="str">
        <x:v>Profile</x:v>
      </x:c>
      <x:c r="B4" s="63" t="str">
        <x:v>Selected candidate</x:v>
      </x:c>
      <x:c r="C4" s="63" t="str">
        <x:v>Features</x:v>
      </x:c>
      <x:c r="D4" s="63" t="str">
        <x:v>Train</x:v>
      </x:c>
      <x:c r="E4" s="63" t="str">
        <x:v>Test</x:v>
      </x:c>
      <x:c r="F4" s="63" t="str">
        <x:v>MAE</x:v>
      </x:c>
      <x:c r="G4" s="63" t="str">
        <x:v>RMSE</x:v>
      </x:c>
      <x:c r="H4" s="63" t="str">
        <x:v>R-squared</x:v>
      </x:c>
      <x:c r="I4" s="63" t="str">
        <x:v>MAPE</x:v>
      </x:c>
      <x:c r="J4" s="64" t="str">
        <x:v>Baseline result</x:v>
      </x:c>
    </x:row>
    <x:row r="5" ht="38" customHeight="1">
      <x:c r="A5" s="65" t="str">
        <x:v>Option 1 - Balanced 15,000</x:v>
      </x:c>
      <x:c r="B5" s="65" t="str">
        <x:v>trend_lag</x:v>
      </x:c>
      <x:c r="C5" s="65" t="str">
        <x:v>time_index, previous_month_revenue, rolling_3_month_average</x:v>
      </x:c>
      <x:c r="D5" s="66" t="n">
        <x:v>54</x:v>
      </x:c>
      <x:c r="E5" s="66" t="n">
        <x:v>6</x:v>
      </x:c>
      <x:c r="F5" s="67" t="n">
        <x:v>444191.4</x:v>
      </x:c>
      <x:c r="G5" s="67" t="n">
        <x:v>525247.59</x:v>
      </x:c>
      <x:c r="H5" s="68" t="n">
        <x:v>0.5181</x:v>
      </x:c>
      <x:c r="I5" s="69" t="n">
        <x:v>0.2438</x:v>
      </x:c>
      <x:c r="J5" s="65" t="str">
        <x:v>Beat baseline</x:v>
      </x:c>
    </x:row>
    <x:row r="6" ht="38" customHeight="1">
      <x:c r="A6" s="65" t="str">
        <x:v>Option 2 - Revenue 15,000</x:v>
      </x:c>
      <x:c r="B6" s="65" t="str">
        <x:v>trend_seasonal_lag</x:v>
      </x:c>
      <x:c r="C6" s="65" t="str">
        <x:v>time_index, month_sin, month_cos, previous_month_revenue, rolling_3_month_average</x:v>
      </x:c>
      <x:c r="D6" s="66" t="n">
        <x:v>54</x:v>
      </x:c>
      <x:c r="E6" s="66" t="n">
        <x:v>6</x:v>
      </x:c>
      <x:c r="F6" s="67" t="n">
        <x:v>495240.83</x:v>
      </x:c>
      <x:c r="G6" s="67" t="n">
        <x:v>659709.25</x:v>
      </x:c>
      <x:c r="H6" s="68" t="n">
        <x:v>0.8069</x:v>
      </x:c>
      <x:c r="I6" s="69" t="n">
        <x:v>0.1386</x:v>
      </x:c>
      <x:c r="J6" s="65" t="str">
        <x:v>Beat baseline</x:v>
      </x:c>
    </x:row>
    <x:row r="7" ht="38" customHeight="1">
      <x:c r="A7" s="65" t="str">
        <x:v>Option 3 - 15,000 per table</x:v>
      </x:c>
      <x:c r="B7" s="65" t="str">
        <x:v>trend_lag</x:v>
      </x:c>
      <x:c r="C7" s="65" t="str">
        <x:v>time_index, previous_month_revenue, rolling_3_month_average</x:v>
      </x:c>
      <x:c r="D7" s="66" t="n">
        <x:v>54</x:v>
      </x:c>
      <x:c r="E7" s="66" t="n">
        <x:v>6</x:v>
      </x:c>
      <x:c r="F7" s="67" t="n">
        <x:v>1435441.6</x:v>
      </x:c>
      <x:c r="G7" s="67" t="n">
        <x:v>1763923.81</x:v>
      </x:c>
      <x:c r="H7" s="68" t="n">
        <x:v>0.1972</x:v>
      </x:c>
      <x:c r="I7" s="69" t="n">
        <x:v>0.3446</x:v>
      </x:c>
      <x:c r="J7" s="65" t="str">
        <x:v>Beat baseline</x:v>
      </x:c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</x:row>
    <x:row r="9">
      <x:c r="A9" s="70" t="str">
        <x:v>Metric interpretation</x:v>
      </x:c>
      <x:c r="B9" s="70" t="str">
        <x:v>Metric interpretation</x:v>
      </x:c>
      <x:c r="C9" s="70" t="str">
        <x:v>Metric interpretation</x:v>
      </x:c>
      <x:c r="D9" s="70" t="str">
        <x:v>Metric interpretation</x:v>
      </x:c>
      <x:c r="E9" s="70" t="str">
        <x:v>Metric interpretation</x:v>
      </x:c>
      <x:c r="F9" s="70" t="str">
        <x:v>Metric interpretation</x:v>
      </x:c>
      <x:c r="G9" s="70" t="str">
        <x:v>Metric interpretation</x:v>
      </x:c>
      <x:c r="H9" s="70" t="str">
        <x:v>Metric interpretation</x:v>
      </x:c>
      <x:c r="I9" s="70" t="str">
        <x:v>Metric interpretation</x:v>
      </x:c>
      <x:c r="J9" s="70" t="str">
        <x:v>Metric interpretation</x:v>
      </x:c>
    </x:row>
    <x:row r="10" ht="30" customHeight="1">
      <x:c r="A10" s="71" t="str">
        <x:v>MAE</x:v>
      </x:c>
      <x:c r="B10" s="65" t="str">
        <x:v>Average absolute error; lower is better.</x:v>
      </x:c>
      <x:c r="C10" s="65"/>
      <x:c r="D10" s="65"/>
      <x:c r="E10" s="65"/>
      <x:c r="F10" s="65"/>
      <x:c r="G10" s="65"/>
      <x:c r="H10" s="65"/>
      <x:c r="I10" s="65"/>
      <x:c r="J10" s="65"/>
    </x:row>
    <x:row r="11" ht="30" customHeight="1">
      <x:c r="A11" s="71" t="str">
        <x:v>RMSE</x:v>
      </x:c>
      <x:c r="B11" s="65" t="str">
        <x:v>Penalizes larger misses; lower is better.</x:v>
      </x:c>
      <x:c r="C11" s="65"/>
      <x:c r="D11" s="65"/>
      <x:c r="E11" s="65"/>
      <x:c r="F11" s="65"/>
      <x:c r="G11" s="65"/>
      <x:c r="H11" s="65"/>
      <x:c r="I11" s="65"/>
      <x:c r="J11" s="65"/>
    </x:row>
    <x:row r="12" ht="30" customHeight="1">
      <x:c r="A12" s="71" t="str">
        <x:v>R-squared</x:v>
      </x:c>
      <x:c r="B12" s="65" t="str">
        <x:v>Holdout fit score; may be negative for poor models.</x:v>
      </x:c>
      <x:c r="C12" s="65"/>
      <x:c r="D12" s="65"/>
      <x:c r="E12" s="65"/>
      <x:c r="F12" s="65"/>
      <x:c r="G12" s="65"/>
      <x:c r="H12" s="65"/>
      <x:c r="I12" s="65"/>
      <x:c r="J12" s="65"/>
    </x:row>
    <x:row r="13" ht="30" customHeight="1">
      <x:c r="A13" s="71" t="str">
        <x:v>MAPE</x:v>
      </x:c>
      <x:c r="B13" s="65" t="str">
        <x:v>Average percentage error for non-zero months.</x:v>
      </x:c>
      <x:c r="C13" s="65"/>
      <x:c r="D13" s="65"/>
      <x:c r="E13" s="65"/>
      <x:c r="F13" s="65"/>
      <x:c r="G13" s="65"/>
      <x:c r="H13" s="65"/>
      <x:c r="I13" s="65"/>
      <x:c r="J13" s="65"/>
    </x:row>
    <x:row r="14" ht="30" customHeight="1">
      <x:c r="A14" s="71" t="str">
        <x:v>Baseline</x:v>
      </x:c>
      <x:c r="B14" s="65" t="str">
        <x:v>Predicts that next month equals the previous month.</x:v>
      </x:c>
      <x:c r="C14" s="65"/>
      <x:c r="D14" s="65"/>
      <x:c r="E14" s="65"/>
      <x:c r="F14" s="65"/>
      <x:c r="G14" s="65"/>
      <x:c r="H14" s="65"/>
      <x:c r="I14" s="65"/>
      <x:c r="J14" s="65"/>
    </x:row>
  </x:sheetData>
  <x:mergeCells>
    <x:mergeCell ref="A1:J2"/>
    <x:mergeCell ref="A9:J9"/>
  </x:mergeCells>
  <x:conditionalFormatting sqref="J5:J7">
    <x:cfRule type="containsText" dxfId="1" priority="1" operator="containsText" text="Bea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55" hidden="0" customWidth="1"/>
    <x:col min="5" max="5" width="18" hidden="0" customWidth="1"/>
  </x:cols>
  <x:sheetData>
    <x:row r="1">
      <x:c r="A1" s="4" t="str">
        <x:v>Dataset Data Dictionary</x:v>
      </x:c>
      <x:c r="B1" s="4" t="str">
        <x:v>Dataset Data Dictionary</x:v>
      </x:c>
      <x:c r="C1" s="4" t="str">
        <x:v>Dataset Data Dictionary</x:v>
      </x:c>
      <x:c r="D1" s="4" t="str">
        <x:v>Dataset Data Dictionary</x:v>
      </x:c>
      <x:c r="E1" s="4" t="str">
        <x:v>Dataset Data Dictionary</x:v>
      </x:c>
    </x:row>
    <x:row r="2">
      <x:c r="A2" s="4" t="str">
        <x:v>Dataset Data Dictionary</x:v>
      </x:c>
      <x:c r="B2" s="4" t="str">
        <x:v>Dataset Data Dictionary</x:v>
      </x:c>
      <x:c r="C2" s="4" t="str">
        <x:v>Dataset Data Dictionary</x:v>
      </x:c>
      <x:c r="D2" s="4" t="str">
        <x:v>Dataset Data Dictionary</x:v>
      </x:c>
      <x:c r="E2" s="4" t="str">
        <x:v>Dataset Data Dictionary</x:v>
      </x:c>
    </x:row>
    <x:row r="4">
      <x:c r="A4" s="62" t="str">
        <x:v>Dataset/Table</x:v>
      </x:c>
      <x:c r="B4" s="63" t="str">
        <x:v>Purpose</x:v>
      </x:c>
      <x:c r="C4" s="63" t="str">
        <x:v>Primary key</x:v>
      </x:c>
      <x:c r="D4" s="63" t="str">
        <x:v>Important relationships/filters</x:v>
      </x:c>
      <x:c r="E4" s="64" t="str">
        <x:v>Full profile rows</x:v>
      </x:c>
    </x:row>
    <x:row r="5">
      <x:c r="A5" s="74" t="str">
        <x:v>users</x:v>
      </x:c>
      <x:c r="B5" s="65" t="str">
        <x:v>Customers, agents, and administrator reference</x:v>
      </x:c>
      <x:c r="C5" s="65" t="str">
        <x:v>id</x:v>
      </x:c>
      <x:c r="D5" s="65" t="str">
        <x:v>Unique synthetic email; role controls relationships</x:v>
      </x:c>
      <x:c r="E5" s="75" t="n">
        <x:v>15000</x:v>
      </x:c>
    </x:row>
    <x:row r="6">
      <x:c r="A6" s="74" t="str">
        <x:v>policy_applications</x:v>
      </x:c>
      <x:c r="B6" s="65" t="str">
        <x:v>Policy workflow and coverage</x:v>
      </x:c>
      <x:c r="C6" s="65" t="str">
        <x:v>id</x:v>
      </x:c>
      <x:c r="D6" s="65" t="str">
        <x:v>customer_id, agent_id, package_id</x:v>
      </x:c>
      <x:c r="E6" s="75" t="n">
        <x:v>15000</x:v>
      </x:c>
    </x:row>
    <x:row r="7">
      <x:c r="A7" s="74" t="str">
        <x:v>payments</x:v>
      </x:c>
      <x:c r="B7" s="65" t="str">
        <x:v>Premium, renewal, and payout transactions</x:v>
      </x:c>
      <x:c r="C7" s="65" t="str">
        <x:v>id</x:v>
      </x:c>
      <x:c r="D7" s="65" t="str">
        <x:v>application_id and customer_id; verified income excludes CLAIM_PAYOUT</x:v>
      </x:c>
      <x:c r="E7" s="75" t="n">
        <x:v>15000</x:v>
      </x:c>
    </x:row>
    <x:row r="8">
      <x:c r="A8" s="74" t="str">
        <x:v>claims</x:v>
      </x:c>
      <x:c r="B8" s="65" t="str">
        <x:v>Claim workflow and requested amounts</x:v>
      </x:c>
      <x:c r="C8" s="65" t="str">
        <x:v>id</x:v>
      </x:c>
      <x:c r="D8" s="65" t="str">
        <x:v>application_id, customer_id, agent_id</x:v>
      </x:c>
      <x:c r="E8" s="75" t="n">
        <x:v>15000</x:v>
      </x:c>
    </x:row>
    <x:row r="9">
      <x:c r="A9" s="74" t="str">
        <x:v>feedbacks</x:v>
      </x:c>
      <x:c r="B9" s="65" t="str">
        <x:v>Customer ratings and messages</x:v>
      </x:c>
      <x:c r="C9" s="65" t="str">
        <x:v>id</x:v>
      </x:c>
      <x:c r="D9" s="65" t="str">
        <x:v>customer_id</x:v>
      </x:c>
      <x:c r="E9" s="75" t="n">
        <x:v>15000</x:v>
      </x:c>
    </x:row>
    <x:row r="10">
      <x:c r="A10" s="74" t="str">
        <x:v>notifications</x:v>
      </x:c>
      <x:c r="B10" s="65" t="str">
        <x:v>Workflow alerts</x:v>
      </x:c>
      <x:c r="C10" s="65" t="str">
        <x:v>id</x:v>
      </x:c>
      <x:c r="D10" s="65" t="str">
        <x:v>recipient_id</x:v>
      </x:c>
      <x:c r="E10" s="75" t="n">
        <x:v>15000</x:v>
      </x:c>
    </x:row>
    <x:row r="11">
      <x:c r="A11" s="74" t="str">
        <x:v>auto_check_logs</x:v>
      </x:c>
      <x:c r="B11" s="65" t="str">
        <x:v>Automated validation audit history</x:v>
      </x:c>
      <x:c r="C11" s="65" t="str">
        <x:v>id</x:v>
      </x:c>
      <x:c r="D11" s="65" t="str">
        <x:v>Independent system audit records</x:v>
      </x:c>
      <x:c r="E11" s="75" t="n">
        <x:v>15000</x:v>
      </x:c>
    </x:row>
    <x:row r="12">
      <x:c r="A12" s="74" t="str">
        <x:v>salary_training</x:v>
      </x:c>
      <x:c r="B12" s="65" t="str">
        <x:v>Salary-model development data</x:v>
      </x:c>
      <x:c r="C12" s="65" t="str">
        <x:v>employee_id</x:v>
      </x:c>
      <x:c r="D12" s="65" t="str">
        <x:v>Synthetic analytical CSV; not a database table</x:v>
      </x:c>
      <x:c r="E12" s="75" t="n">
        <x:v>15000</x:v>
      </x:c>
    </x:row>
    <x:row r="13">
      <x:c r="A13" s="74" t="str">
        <x:v>revenue_monthly</x:v>
      </x:c>
      <x:c r="B13" s="65" t="str">
        <x:v>Python model-ready monthly revenue</x:v>
      </x:c>
      <x:c r="C13" s="65" t="str">
        <x:v>month</x:v>
      </x:c>
      <x:c r="D13" s="65" t="str">
        <x:v>60 months; verified premium/renewal only</x:v>
      </x:c>
      <x:c r="E13" s="75" t="n">
        <x:v>60</x:v>
      </x:c>
    </x:row>
    <x:row r="14">
      <x:c r="A14" s="74" t="str">
        <x:v>insurance_types</x:v>
      </x:c>
      <x:c r="B14" s="65" t="str">
        <x:v>Reference insurance categories</x:v>
      </x:c>
      <x:c r="C14" s="65" t="str">
        <x:v>id</x:v>
      </x:c>
      <x:c r="D14" s="65" t="str">
        <x:v>Six meaningful records, not duplicated</x:v>
      </x:c>
      <x:c r="E14" s="75" t="n">
        <x:v>6</x:v>
      </x:c>
    </x:row>
    <x:row r="15">
      <x:c r="A15" s="76" t="str">
        <x:v>insurance_packages</x:v>
      </x:c>
      <x:c r="B15" s="77" t="str">
        <x:v>Reference policy products</x:v>
      </x:c>
      <x:c r="C15" s="77" t="str">
        <x:v>id</x:v>
      </x:c>
      <x:c r="D15" s="77" t="str">
        <x:v>24 meaningful package records</x:v>
      </x:c>
      <x:c r="E15" s="78" t="n">
        <x:v>24</x:v>
      </x:c>
    </x:row>
  </x:sheetData>
  <x:mergeCells>
    <x:mergeCell ref="A1:E2"/>
  </x:mergeCells>
  <x:pageMargins left="0.7" right="0.7" top="0.75" bottom="0.75" header="0.3" footer="0.3"/>
</x:worksheet>
</file>